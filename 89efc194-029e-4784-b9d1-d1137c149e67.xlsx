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Ciro\Desktop\"/>
    </mc:Choice>
  </mc:AlternateContent>
  <xr:revisionPtr revIDLastSave="0" documentId="13_ncr:1_{E3BB8D78-210B-42E5-B40C-5A1D648C0DE1}" xr6:coauthVersionLast="47" xr6:coauthVersionMax="47" xr10:uidLastSave="{00000000-0000-0000-0000-000000000000}"/>
  <bookViews>
    <workbookView xWindow="-120" yWindow="-120" windowWidth="21840" windowHeight="13020" firstSheet="1" activeTab="3" xr2:uid="{00000000-000D-0000-FFFF-FFFF00000000}"/>
  </bookViews>
  <sheets>
    <sheet name="Funcionário Simples Nacional" sheetId="1" r:id="rId1"/>
    <sheet name="Empresa Não Optante Simples" sheetId="3" r:id="rId2"/>
    <sheet name="Funcionários  Não Opante" sheetId="5" r:id="rId3"/>
    <sheet name="Funcionário Simples" sheetId="6" r:id="rId4"/>
  </sheets>
  <calcPr calcId="181029"/>
  <extLst>
    <ext uri="GoogleSheetsCustomDataVersion1">
      <go:sheetsCustomData xmlns:go="http://customooxmlschemas.google.com/" r:id="" roundtripDataSignature="AMtx7mgasXHwL6Ax3vvOR1bz+zhapVRpPw=="/>
    </ext>
  </extLst>
</workbook>
</file>

<file path=xl/calcChain.xml><?xml version="1.0" encoding="utf-8"?>
<calcChain xmlns="http://schemas.openxmlformats.org/spreadsheetml/2006/main">
  <c r="C4" i="6" l="1"/>
  <c r="C21" i="6"/>
  <c r="C22" i="6" s="1"/>
  <c r="C20" i="6"/>
  <c r="C17" i="6"/>
  <c r="C16" i="6"/>
  <c r="C14" i="6"/>
  <c r="C13" i="6"/>
  <c r="C12" i="6"/>
  <c r="F3" i="6"/>
  <c r="E3" i="6"/>
  <c r="E4" i="6" s="1"/>
  <c r="C21" i="5"/>
  <c r="C22" i="5" s="1"/>
  <c r="C20" i="5"/>
  <c r="C17" i="5"/>
  <c r="C16" i="5"/>
  <c r="C14" i="5"/>
  <c r="C13" i="5"/>
  <c r="C12" i="5"/>
  <c r="F3" i="5"/>
  <c r="E3" i="5"/>
  <c r="E4" i="5" s="1"/>
  <c r="C18" i="6" l="1"/>
  <c r="C5" i="6"/>
  <c r="C7" i="6" s="1"/>
  <c r="C18" i="5"/>
  <c r="C5" i="5"/>
  <c r="C7" i="5" s="1"/>
  <c r="C24" i="5" s="1"/>
  <c r="C24" i="6" l="1"/>
  <c r="D7" i="3"/>
  <c r="D20" i="3" l="1"/>
  <c r="D19" i="3"/>
  <c r="D18" i="3"/>
  <c r="D17" i="3"/>
  <c r="D16" i="3"/>
  <c r="D15" i="3"/>
  <c r="D14" i="3"/>
  <c r="D13" i="3"/>
  <c r="D12" i="3"/>
  <c r="D6" i="3"/>
  <c r="D17" i="1"/>
  <c r="D16" i="1"/>
  <c r="D15" i="1"/>
  <c r="D14" i="1"/>
  <c r="D13" i="1"/>
  <c r="D12" i="1"/>
  <c r="D5" i="1"/>
  <c r="D10" i="1" s="1"/>
  <c r="D4" i="1"/>
  <c r="D21" i="3" l="1"/>
  <c r="D18" i="1"/>
  <c r="E18" i="1" l="1"/>
</calcChain>
</file>

<file path=xl/sharedStrings.xml><?xml version="1.0" encoding="utf-8"?>
<sst xmlns="http://schemas.openxmlformats.org/spreadsheetml/2006/main" count="75" uniqueCount="39">
  <si>
    <t>Planilha de Custo de Funcionário</t>
  </si>
  <si>
    <t>CUSTOS MENSAIS</t>
  </si>
  <si>
    <t>FGTS Salário</t>
  </si>
  <si>
    <t>FÉRIAS 1/12</t>
  </si>
  <si>
    <t>AUXIÍLIO REFEIÇÃO</t>
  </si>
  <si>
    <t>AUXIÍLIO ALIMENTAÇÃO</t>
  </si>
  <si>
    <t>PLANO DE SAÚDE</t>
  </si>
  <si>
    <t>AUXÍLIO TRANSPORTE</t>
  </si>
  <si>
    <t>1/3 FÉRIAS 1/12</t>
  </si>
  <si>
    <t>13º SALÁRIO 1/12</t>
  </si>
  <si>
    <t>FGTS FÉRIAS 1/12</t>
  </si>
  <si>
    <t>FGTS 1/3 FÉRIAS 1/12</t>
  </si>
  <si>
    <t>FGTS 13º SALÁRIO 1/12</t>
  </si>
  <si>
    <t>AVISO PRÉVIO 1/12 (provisão)</t>
  </si>
  <si>
    <t>FGTS AVISO PRÉVIO 1/12  (provisão)</t>
  </si>
  <si>
    <t>MULTA FGTS 1/12  (provisão)</t>
  </si>
  <si>
    <t>TOTAL ADICIONAL</t>
  </si>
  <si>
    <t>OBS. : Opcional, em caso de hora extra, substituição de funcionário</t>
  </si>
  <si>
    <t>SALÁRIO-BASE</t>
  </si>
  <si>
    <t>OUTROS BENEFÍCIOS</t>
  </si>
  <si>
    <t>INSS,RAT, TERC</t>
  </si>
  <si>
    <t>Eventos</t>
  </si>
  <si>
    <t>%</t>
  </si>
  <si>
    <t>Custo</t>
  </si>
  <si>
    <t>Salário bruto</t>
  </si>
  <si>
    <t>Desconto INSS</t>
  </si>
  <si>
    <t>Salário Liquido</t>
  </si>
  <si>
    <t>Fgts 8%</t>
  </si>
  <si>
    <t>INSS do Empregador 20%</t>
  </si>
  <si>
    <t>Outras Entidades</t>
  </si>
  <si>
    <t>RAT</t>
  </si>
  <si>
    <t>FAP Ajustado</t>
  </si>
  <si>
    <t xml:space="preserve">Total de </t>
  </si>
  <si>
    <t>provisão de 13º Salário</t>
  </si>
  <si>
    <t>provisão de Férias</t>
  </si>
  <si>
    <t>1/3 sobre Férias</t>
  </si>
  <si>
    <t>Custo Mensal Total</t>
  </si>
  <si>
    <t xml:space="preserve">com base até a segunda faixa da tabela progressiva </t>
  </si>
  <si>
    <t>FUNCIONÁRIO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</si>
</sst>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</numFmts>
  <fonts count="20" x14ac:knownFonts="1">
    <font>
      <sz val="12"/>
      <color rgb="FF000000"/>
      <name val="Arial"/>
    </font>
    <font>
      <b/>
      <sz val="18"/>
      <color rgb="FF2687E9"/>
      <name val="Arial"/>
    </font>
    <font>
      <sz val="12"/>
      <name val="Arial"/>
    </font>
    <font>
      <sz val="14"/>
      <color rgb="FF000000"/>
      <name val="Arial"/>
    </font>
    <font>
      <b/>
      <sz val="12"/>
      <color rgb="FFFFFFFF"/>
      <name val="Arial"/>
    </font>
    <font>
      <b/>
      <sz val="14"/>
      <color rgb="FFFFFFFF"/>
      <name val="Arial"/>
    </font>
    <font>
      <sz val="14"/>
      <color rgb="FFFFFFFF"/>
      <name val="Arial"/>
    </font>
    <font>
      <b/>
      <sz val="12"/>
      <color rgb="FF385A7B"/>
      <name val="Arial"/>
    </font>
    <font>
      <sz val="10"/>
      <color rgb="FF385A7B"/>
      <name val="Arial"/>
    </font>
    <font>
      <b/>
      <sz val="11"/>
      <color rgb="FFFFFFFF"/>
      <name val="Arial"/>
    </font>
    <font>
      <sz val="14"/>
      <color rgb="FF385A7B"/>
      <name val="Arial"/>
    </font>
    <font>
      <b/>
      <sz val="11"/>
      <color rgb="FF385A7B"/>
      <name val="Arial"/>
    </font>
    <font>
      <sz val="11"/>
      <color rgb="FF385A7B"/>
      <name val="Arial"/>
    </font>
    <font>
      <i/>
      <sz val="14"/>
      <color rgb="FF385A7B"/>
      <name val="Arial"/>
    </font>
    <font>
      <sz val="12"/>
      <color rgb="FF000000"/>
      <name val="Arial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983BB"/>
        <bgColor rgb="FF4983BB"/>
      </patternFill>
    </fill>
    <fill>
      <patternFill patternType="solid">
        <fgColor rgb="FFE8EDF9"/>
        <bgColor rgb="FFE8EDF9"/>
      </patternFill>
    </fill>
    <fill>
      <patternFill patternType="solid">
        <fgColor rgb="FFF6F8FB"/>
        <bgColor rgb="FFF6F8FB"/>
      </patternFill>
    </fill>
    <fill>
      <patternFill patternType="solid">
        <fgColor rgb="FFFFFF00"/>
        <bgColor rgb="FFFFFFFF"/>
      </patternFill>
    </fill>
  </fills>
  <borders count="26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/>
      <top/>
      <bottom style="thick">
        <color rgb="FFDCE4F4"/>
      </bottom>
      <diagonal/>
    </border>
    <border>
      <left/>
      <right/>
      <top/>
      <bottom style="thick">
        <color rgb="FFDCE4F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4983BB"/>
      </bottom>
      <diagonal/>
    </border>
    <border>
      <left/>
      <right/>
      <top/>
      <bottom style="thin">
        <color rgb="FF4983BB"/>
      </bottom>
      <diagonal/>
    </border>
    <border>
      <left/>
      <right/>
      <top/>
      <bottom style="thick">
        <color rgb="FFDCE4F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5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4" xfId="0" applyFont="1" applyFill="1" applyBorder="1"/>
    <xf numFmtId="164" fontId="5" fillId="3" borderId="4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left" vertical="center"/>
    </xf>
    <xf numFmtId="164" fontId="8" fillId="4" borderId="8" xfId="0" applyNumberFormat="1" applyFont="1" applyFill="1" applyBorder="1" applyAlignment="1">
      <alignment horizontal="right" vertical="center"/>
    </xf>
    <xf numFmtId="0" fontId="8" fillId="5" borderId="8" xfId="0" applyFont="1" applyFill="1" applyBorder="1" applyAlignment="1">
      <alignment horizontal="left" vertical="center"/>
    </xf>
    <xf numFmtId="164" fontId="8" fillId="5" borderId="8" xfId="0" applyNumberFormat="1" applyFont="1" applyFill="1" applyBorder="1" applyAlignment="1">
      <alignment horizontal="right" vertical="center"/>
    </xf>
    <xf numFmtId="0" fontId="9" fillId="3" borderId="8" xfId="0" applyFont="1" applyFill="1" applyBorder="1" applyAlignment="1">
      <alignment horizontal="left" vertical="center"/>
    </xf>
    <xf numFmtId="164" fontId="9" fillId="3" borderId="8" xfId="0" applyNumberFormat="1" applyFont="1" applyFill="1" applyBorder="1" applyAlignment="1">
      <alignment horizontal="right" vertical="center"/>
    </xf>
    <xf numFmtId="10" fontId="0" fillId="0" borderId="0" xfId="0" applyNumberFormat="1"/>
    <xf numFmtId="0" fontId="10" fillId="2" borderId="4" xfId="0" applyFont="1" applyFill="1" applyBorder="1"/>
    <xf numFmtId="164" fontId="12" fillId="5" borderId="4" xfId="0" applyNumberFormat="1" applyFont="1" applyFill="1" applyBorder="1" applyAlignment="1">
      <alignment horizontal="left" vertical="center"/>
    </xf>
    <xf numFmtId="0" fontId="13" fillId="0" borderId="0" xfId="0" applyFont="1"/>
    <xf numFmtId="0" fontId="3" fillId="0" borderId="13" xfId="0" applyFont="1" applyBorder="1"/>
    <xf numFmtId="0" fontId="1" fillId="6" borderId="14" xfId="0" applyFont="1" applyFill="1" applyBorder="1" applyAlignment="1">
      <alignment vertical="center" wrapText="1"/>
    </xf>
    <xf numFmtId="44" fontId="1" fillId="6" borderId="15" xfId="1" applyFont="1" applyFill="1" applyBorder="1" applyAlignment="1">
      <alignment vertical="center" wrapText="1"/>
    </xf>
    <xf numFmtId="0" fontId="1" fillId="6" borderId="16" xfId="0" applyFont="1" applyFill="1" applyBorder="1" applyAlignment="1">
      <alignment vertic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/>
    <xf numFmtId="44" fontId="0" fillId="0" borderId="22" xfId="1" applyFont="1" applyBorder="1"/>
    <xf numFmtId="44" fontId="0" fillId="0" borderId="0" xfId="0" applyNumberFormat="1"/>
    <xf numFmtId="0" fontId="0" fillId="0" borderId="21" xfId="0" applyBorder="1"/>
    <xf numFmtId="44" fontId="16" fillId="0" borderId="22" xfId="1" applyFont="1" applyBorder="1"/>
    <xf numFmtId="44" fontId="0" fillId="0" borderId="22" xfId="1" applyFont="1" applyBorder="1" applyAlignment="1">
      <alignment horizontal="center"/>
    </xf>
    <xf numFmtId="44" fontId="0" fillId="0" borderId="22" xfId="0" applyNumberFormat="1" applyBorder="1"/>
    <xf numFmtId="0" fontId="17" fillId="0" borderId="20" xfId="0" applyFont="1" applyBorder="1" applyAlignment="1">
      <alignment horizontal="center"/>
    </xf>
    <xf numFmtId="9" fontId="0" fillId="0" borderId="21" xfId="0" applyNumberFormat="1" applyBorder="1"/>
    <xf numFmtId="10" fontId="0" fillId="0" borderId="21" xfId="0" applyNumberFormat="1" applyBorder="1"/>
    <xf numFmtId="0" fontId="18" fillId="0" borderId="20" xfId="2" applyNumberFormat="1" applyFont="1" applyFill="1" applyBorder="1" applyAlignment="1">
      <alignment horizontal="center"/>
    </xf>
    <xf numFmtId="0" fontId="15" fillId="0" borderId="21" xfId="0" applyFont="1" applyBorder="1"/>
    <xf numFmtId="44" fontId="19" fillId="0" borderId="22" xfId="0" applyNumberFormat="1" applyFont="1" applyBorder="1"/>
    <xf numFmtId="0" fontId="0" fillId="0" borderId="22" xfId="0" applyBorder="1"/>
    <xf numFmtId="0" fontId="17" fillId="0" borderId="23" xfId="0" applyFont="1" applyBorder="1" applyAlignment="1">
      <alignment horizontal="center"/>
    </xf>
    <xf numFmtId="0" fontId="0" fillId="0" borderId="24" xfId="0" applyBorder="1"/>
    <xf numFmtId="44" fontId="16" fillId="0" borderId="25" xfId="0" applyNumberFormat="1" applyFont="1" applyBorder="1"/>
    <xf numFmtId="0" fontId="1" fillId="2" borderId="2" xfId="0" applyFont="1" applyFill="1" applyBorder="1" applyAlignment="1">
      <alignment horizontal="left" vertical="center" wrapText="1"/>
    </xf>
    <xf numFmtId="0" fontId="2" fillId="0" borderId="3" xfId="0" applyFont="1" applyBorder="1"/>
    <xf numFmtId="0" fontId="4" fillId="3" borderId="5" xfId="0" applyFont="1" applyFill="1" applyBorder="1" applyAlignment="1">
      <alignment horizontal="center"/>
    </xf>
    <xf numFmtId="0" fontId="2" fillId="0" borderId="6" xfId="0" applyFont="1" applyBorder="1"/>
    <xf numFmtId="0" fontId="7" fillId="4" borderId="7" xfId="0" applyFont="1" applyFill="1" applyBorder="1" applyAlignment="1">
      <alignment horizontal="center" vertical="center" textRotation="90"/>
    </xf>
    <xf numFmtId="0" fontId="2" fillId="0" borderId="9" xfId="0" applyFont="1" applyBorder="1"/>
    <xf numFmtId="0" fontId="2" fillId="0" borderId="10" xfId="0" applyFont="1" applyBorder="1"/>
    <xf numFmtId="0" fontId="11" fillId="5" borderId="5" xfId="0" applyFont="1" applyFill="1" applyBorder="1" applyAlignment="1">
      <alignment horizontal="left" vertical="center"/>
    </xf>
    <xf numFmtId="0" fontId="8" fillId="5" borderId="11" xfId="0" applyFont="1" applyFill="1" applyBorder="1" applyAlignment="1">
      <alignment horizontal="left" vertical="center"/>
    </xf>
    <xf numFmtId="0" fontId="2" fillId="0" borderId="12" xfId="0" applyFont="1" applyBorder="1"/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1</xdr:row>
      <xdr:rowOff>0</xdr:rowOff>
    </xdr:from>
    <xdr:ext cx="2514600" cy="8667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093463" y="3351375"/>
          <a:ext cx="2505075" cy="857250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1068" y="33552"/>
              </a:moveTo>
              <a:lnTo>
                <a:pt x="-30090" y="33097"/>
              </a:lnTo>
            </a:path>
          </a:pathLst>
        </a:custGeom>
        <a:solidFill>
          <a:srgbClr val="F48B8E"/>
        </a:solidFill>
        <a:ln w="12700" cap="rnd" cmpd="sng">
          <a:solidFill>
            <a:srgbClr val="F48B8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08000" tIns="108000" rIns="108000" bIns="1080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lang="en-US" sz="11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DICA DE TABELA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900"/>
            <a:buFont typeface="Arial"/>
            <a:buNone/>
          </a:pPr>
          <a:r>
            <a:rPr lang="en-US" sz="9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Atualize  este campo do salário-base mensal. </a:t>
          </a:r>
          <a:endParaRPr sz="1100"/>
        </a:p>
      </xdr:txBody>
    </xdr:sp>
    <xdr:clientData fLocksWithSheet="0"/>
  </xdr:oneCellAnchor>
  <xdr:oneCellAnchor>
    <xdr:from>
      <xdr:col>4</xdr:col>
      <xdr:colOff>438150</xdr:colOff>
      <xdr:row>6</xdr:row>
      <xdr:rowOff>142875</xdr:rowOff>
    </xdr:from>
    <xdr:ext cx="2514600" cy="1485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093463" y="3041813"/>
          <a:ext cx="2505075" cy="147637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1068" y="33552"/>
              </a:moveTo>
              <a:lnTo>
                <a:pt x="-30090" y="33097"/>
              </a:lnTo>
            </a:path>
          </a:pathLst>
        </a:custGeom>
        <a:solidFill>
          <a:srgbClr val="F48B8E"/>
        </a:solidFill>
        <a:ln w="12700" cap="rnd" cmpd="sng">
          <a:solidFill>
            <a:srgbClr val="F48B8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08000" tIns="108000" rIns="108000" bIns="1080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lang="en-US" sz="11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DICA DE TABELA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900"/>
            <a:buFont typeface="Arial"/>
            <a:buNone/>
          </a:pPr>
          <a:r>
            <a:rPr lang="en-US" sz="9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Se for o caso, inclua valores de auxílio refeição, alimeação, plano de saúde e outros benefícios. Os demais campos são calculados automaticamente.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457200</xdr:colOff>
      <xdr:row>1</xdr:row>
      <xdr:rowOff>133350</xdr:rowOff>
    </xdr:from>
    <xdr:ext cx="2181225" cy="8667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260150" y="3351375"/>
          <a:ext cx="2171700" cy="857250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1068" y="33552"/>
              </a:moveTo>
              <a:lnTo>
                <a:pt x="-30090" y="33097"/>
              </a:lnTo>
            </a:path>
          </a:pathLst>
        </a:custGeom>
        <a:solidFill>
          <a:srgbClr val="F48B8E"/>
        </a:solidFill>
        <a:ln w="12700" cap="rnd" cmpd="sng">
          <a:solidFill>
            <a:srgbClr val="F48B8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08000" tIns="108000" rIns="108000" bIns="1080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lang="en-US" sz="11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DICA DE TABELA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900"/>
            <a:buFont typeface="Arial"/>
            <a:buNone/>
          </a:pPr>
          <a:r>
            <a:rPr lang="en-US" sz="9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Atualize  este campo do salário-base mensal. </a:t>
          </a:r>
          <a:endParaRPr sz="1100"/>
        </a:p>
      </xdr:txBody>
    </xdr:sp>
    <xdr:clientData fLocksWithSheet="0"/>
  </xdr:oneCellAnchor>
  <xdr:oneCellAnchor>
    <xdr:from>
      <xdr:col>4</xdr:col>
      <xdr:colOff>457200</xdr:colOff>
      <xdr:row>8</xdr:row>
      <xdr:rowOff>123825</xdr:rowOff>
    </xdr:from>
    <xdr:ext cx="2181225" cy="14859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260150" y="3041813"/>
          <a:ext cx="2171700" cy="147637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1068" y="33552"/>
              </a:moveTo>
              <a:lnTo>
                <a:pt x="-30090" y="33097"/>
              </a:lnTo>
            </a:path>
          </a:pathLst>
        </a:custGeom>
        <a:solidFill>
          <a:srgbClr val="F48B8E"/>
        </a:solidFill>
        <a:ln w="12700" cap="rnd" cmpd="sng">
          <a:solidFill>
            <a:srgbClr val="F48B8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08000" tIns="108000" rIns="108000" bIns="1080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lang="en-US" sz="11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DICA DE TABELA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900"/>
            <a:buFont typeface="Arial"/>
            <a:buNone/>
          </a:pPr>
          <a:r>
            <a:rPr lang="en-US" sz="9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Se for o caso, inclua valores de auxílio refeição, alimentação, plano de saúde e outros benefícios. Os demais campos são calculados automaticamente.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8"/>
  <sheetViews>
    <sheetView showGridLines="0" workbookViewId="0">
      <pane ySplit="1" topLeftCell="A14" activePane="bottomLeft" state="frozen"/>
      <selection pane="bottomLeft" activeCell="D3" sqref="D3"/>
    </sheetView>
  </sheetViews>
  <sheetFormatPr defaultColWidth="11.21875" defaultRowHeight="15" customHeight="1" x14ac:dyDescent="0.2"/>
  <cols>
    <col min="1" max="1" width="1.88671875" customWidth="1"/>
    <col min="2" max="2" width="26.44140625" customWidth="1"/>
    <col min="3" max="3" width="30.88671875" customWidth="1"/>
    <col min="4" max="4" width="20.44140625" customWidth="1"/>
    <col min="5" max="5" width="14.44140625" customWidth="1"/>
    <col min="6" max="6" width="18.77734375" customWidth="1"/>
    <col min="7" max="24" width="11" customWidth="1"/>
    <col min="25" max="26" width="12.6640625" customWidth="1"/>
  </cols>
  <sheetData>
    <row r="1" spans="1:24" ht="139.5" customHeight="1" thickBot="1" x14ac:dyDescent="0.25">
      <c r="A1" s="1"/>
      <c r="B1" s="40" t="s">
        <v>0</v>
      </c>
      <c r="C1" s="41"/>
      <c r="D1" s="41"/>
      <c r="E1" s="17"/>
      <c r="F1" s="18"/>
      <c r="G1" s="1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6.25" customHeight="1" thickTop="1" x14ac:dyDescent="0.25">
      <c r="B2" s="42"/>
      <c r="C2" s="43"/>
      <c r="D2" s="3">
        <v>1621</v>
      </c>
    </row>
    <row r="3" spans="1:24" ht="30.75" customHeight="1" x14ac:dyDescent="0.25">
      <c r="B3" s="2"/>
      <c r="C3" s="4"/>
      <c r="D3" s="5"/>
    </row>
    <row r="4" spans="1:24" ht="18" customHeight="1" x14ac:dyDescent="0.2">
      <c r="B4" s="44" t="s">
        <v>1</v>
      </c>
      <c r="C4" s="6" t="s">
        <v>2</v>
      </c>
      <c r="D4" s="7">
        <f>D2/12.5</f>
        <v>129.68</v>
      </c>
    </row>
    <row r="5" spans="1:24" ht="18" customHeight="1" x14ac:dyDescent="0.2">
      <c r="B5" s="45"/>
      <c r="C5" s="8" t="s">
        <v>3</v>
      </c>
      <c r="D5" s="9">
        <f>D2/12</f>
        <v>135.08333333333334</v>
      </c>
    </row>
    <row r="6" spans="1:24" ht="18" customHeight="1" x14ac:dyDescent="0.2">
      <c r="B6" s="45"/>
      <c r="C6" s="6" t="s">
        <v>4</v>
      </c>
      <c r="D6" s="7">
        <v>0</v>
      </c>
    </row>
    <row r="7" spans="1:24" ht="18" customHeight="1" x14ac:dyDescent="0.2">
      <c r="B7" s="45"/>
      <c r="C7" s="8" t="s">
        <v>5</v>
      </c>
      <c r="D7" s="9">
        <v>0</v>
      </c>
    </row>
    <row r="8" spans="1:24" ht="18" customHeight="1" x14ac:dyDescent="0.2">
      <c r="B8" s="45"/>
      <c r="C8" s="6" t="s">
        <v>6</v>
      </c>
      <c r="D8" s="7">
        <v>0</v>
      </c>
    </row>
    <row r="9" spans="1:24" ht="18" customHeight="1" x14ac:dyDescent="0.2">
      <c r="B9" s="45"/>
      <c r="C9" s="8" t="s">
        <v>7</v>
      </c>
      <c r="D9" s="9">
        <v>0</v>
      </c>
    </row>
    <row r="10" spans="1:24" ht="18" customHeight="1" x14ac:dyDescent="0.2">
      <c r="B10" s="45"/>
      <c r="C10" s="6" t="s">
        <v>8</v>
      </c>
      <c r="D10" s="7">
        <f>D5/3</f>
        <v>45.027777777777779</v>
      </c>
    </row>
    <row r="11" spans="1:24" ht="18" customHeight="1" x14ac:dyDescent="0.2">
      <c r="B11" s="45"/>
      <c r="C11" s="8" t="s">
        <v>9</v>
      </c>
      <c r="D11" s="9">
        <v>0</v>
      </c>
    </row>
    <row r="12" spans="1:24" ht="18" customHeight="1" x14ac:dyDescent="0.2">
      <c r="B12" s="45"/>
      <c r="C12" s="6" t="s">
        <v>10</v>
      </c>
      <c r="D12" s="7">
        <f>D2/150</f>
        <v>10.806666666666667</v>
      </c>
    </row>
    <row r="13" spans="1:24" ht="18" customHeight="1" x14ac:dyDescent="0.2">
      <c r="B13" s="45"/>
      <c r="C13" s="8" t="s">
        <v>11</v>
      </c>
      <c r="D13" s="9">
        <f>D2/454.5</f>
        <v>3.5665566556655666</v>
      </c>
    </row>
    <row r="14" spans="1:24" ht="18" customHeight="1" x14ac:dyDescent="0.2">
      <c r="B14" s="45"/>
      <c r="C14" s="6" t="s">
        <v>12</v>
      </c>
      <c r="D14" s="7">
        <f>D2/150</f>
        <v>10.806666666666667</v>
      </c>
    </row>
    <row r="15" spans="1:24" ht="18" customHeight="1" x14ac:dyDescent="0.2">
      <c r="B15" s="45"/>
      <c r="C15" s="8" t="s">
        <v>13</v>
      </c>
      <c r="D15" s="9">
        <f>D2/12</f>
        <v>135.08333333333334</v>
      </c>
    </row>
    <row r="16" spans="1:24" ht="18" customHeight="1" x14ac:dyDescent="0.2">
      <c r="B16" s="45"/>
      <c r="C16" s="6" t="s">
        <v>14</v>
      </c>
      <c r="D16" s="7">
        <f>D2/150</f>
        <v>10.806666666666667</v>
      </c>
    </row>
    <row r="17" spans="2:5" ht="18" customHeight="1" x14ac:dyDescent="0.2">
      <c r="B17" s="45"/>
      <c r="C17" s="8" t="s">
        <v>15</v>
      </c>
      <c r="D17" s="9">
        <f>D2*2%</f>
        <v>32.42</v>
      </c>
    </row>
    <row r="18" spans="2:5" ht="22.5" customHeight="1" x14ac:dyDescent="0.2">
      <c r="B18" s="46"/>
      <c r="C18" s="10" t="s">
        <v>16</v>
      </c>
      <c r="D18" s="11">
        <f>SUM(D3:D17)</f>
        <v>513.28100110011007</v>
      </c>
      <c r="E18" s="12">
        <f>D18/D2</f>
        <v>0.31664466446644668</v>
      </c>
    </row>
    <row r="19" spans="2:5" ht="7.5" customHeight="1" x14ac:dyDescent="0.25">
      <c r="B19" s="13"/>
      <c r="C19" s="13"/>
      <c r="D19" s="13"/>
    </row>
    <row r="20" spans="2:5" ht="22.5" customHeight="1" x14ac:dyDescent="0.2">
      <c r="B20" s="47"/>
      <c r="C20" s="43"/>
      <c r="D20" s="14"/>
    </row>
    <row r="21" spans="2:5" ht="22.5" customHeight="1" x14ac:dyDescent="0.2">
      <c r="B21" s="48" t="s">
        <v>17</v>
      </c>
      <c r="C21" s="49"/>
      <c r="D21" s="49"/>
    </row>
    <row r="22" spans="2:5" ht="18" customHeight="1" x14ac:dyDescent="0.3">
      <c r="B22" s="15"/>
      <c r="C22" s="15"/>
      <c r="D22" s="15"/>
    </row>
    <row r="23" spans="2:5" ht="18" customHeight="1" x14ac:dyDescent="0.2"/>
    <row r="24" spans="2:5" ht="18" customHeight="1" x14ac:dyDescent="0.2"/>
    <row r="25" spans="2:5" ht="18" customHeight="1" x14ac:dyDescent="0.2"/>
    <row r="26" spans="2:5" ht="18" customHeight="1" x14ac:dyDescent="0.2"/>
    <row r="27" spans="2:5" ht="18" customHeight="1" x14ac:dyDescent="0.2"/>
    <row r="28" spans="2:5" ht="18" customHeight="1" x14ac:dyDescent="0.2"/>
    <row r="29" spans="2:5" ht="18" customHeight="1" x14ac:dyDescent="0.2"/>
    <row r="30" spans="2:5" ht="18" customHeight="1" x14ac:dyDescent="0.2"/>
    <row r="31" spans="2:5" ht="18" customHeight="1" x14ac:dyDescent="0.2"/>
    <row r="32" spans="2:5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  <row r="80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5">
    <mergeCell ref="B1:D1"/>
    <mergeCell ref="B2:C2"/>
    <mergeCell ref="B4:B18"/>
    <mergeCell ref="B20:C20"/>
    <mergeCell ref="B21:D21"/>
  </mergeCells>
  <pageMargins left="0.75" right="0.75" top="1" bottom="0.99999405285819709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showGridLines="0" topLeftCell="B1" workbookViewId="0">
      <pane ySplit="1" topLeftCell="A2" activePane="bottomLeft" state="frozen"/>
      <selection pane="bottomLeft" activeCell="D5" sqref="D5"/>
    </sheetView>
  </sheetViews>
  <sheetFormatPr defaultColWidth="11.21875" defaultRowHeight="15" customHeight="1" x14ac:dyDescent="0.2"/>
  <cols>
    <col min="1" max="1" width="1.88671875" hidden="1" customWidth="1"/>
    <col min="2" max="2" width="26.44140625" customWidth="1"/>
    <col min="3" max="3" width="30.88671875" customWidth="1"/>
    <col min="4" max="4" width="20.44140625" customWidth="1"/>
    <col min="5" max="24" width="11" customWidth="1"/>
    <col min="25" max="26" width="12.6640625" customWidth="1"/>
  </cols>
  <sheetData>
    <row r="1" spans="1:24" ht="52.5" customHeight="1" x14ac:dyDescent="0.25">
      <c r="A1" s="1" t="s">
        <v>0</v>
      </c>
      <c r="B1" s="40" t="s">
        <v>0</v>
      </c>
      <c r="C1" s="41"/>
      <c r="D1" s="41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4" ht="17.25" customHeight="1" x14ac:dyDescent="0.2"/>
    <row r="3" spans="1:24" ht="7.5" customHeight="1" x14ac:dyDescent="0.25">
      <c r="B3" s="2"/>
      <c r="C3" s="2"/>
      <c r="D3" s="2"/>
    </row>
    <row r="4" spans="1:24" ht="18" x14ac:dyDescent="0.25">
      <c r="B4" s="42" t="s">
        <v>18</v>
      </c>
      <c r="C4" s="43"/>
      <c r="D4" s="3">
        <v>1621</v>
      </c>
    </row>
    <row r="5" spans="1:24" ht="7.5" customHeight="1" x14ac:dyDescent="0.25">
      <c r="B5" s="2"/>
      <c r="C5" s="4"/>
      <c r="D5" s="5"/>
    </row>
    <row r="6" spans="1:24" ht="18" customHeight="1" x14ac:dyDescent="0.2">
      <c r="B6" s="44" t="s">
        <v>1</v>
      </c>
      <c r="C6" s="8" t="s">
        <v>2</v>
      </c>
      <c r="D6" s="9">
        <f>D4/12.5</f>
        <v>129.68</v>
      </c>
    </row>
    <row r="7" spans="1:24" ht="18" customHeight="1" x14ac:dyDescent="0.2">
      <c r="B7" s="45"/>
      <c r="C7" s="6" t="s">
        <v>20</v>
      </c>
      <c r="D7" s="7">
        <f>D4*0.288</f>
        <v>466.84799999999996</v>
      </c>
    </row>
    <row r="8" spans="1:24" ht="18" customHeight="1" x14ac:dyDescent="0.2">
      <c r="B8" s="45"/>
      <c r="C8" s="6" t="s">
        <v>4</v>
      </c>
      <c r="D8" s="7">
        <v>0</v>
      </c>
    </row>
    <row r="9" spans="1:24" ht="18" customHeight="1" x14ac:dyDescent="0.2">
      <c r="B9" s="45"/>
      <c r="C9" s="8" t="s">
        <v>5</v>
      </c>
      <c r="D9" s="9">
        <v>0</v>
      </c>
    </row>
    <row r="10" spans="1:24" ht="18" customHeight="1" x14ac:dyDescent="0.2">
      <c r="B10" s="45"/>
      <c r="C10" s="6" t="s">
        <v>6</v>
      </c>
      <c r="D10" s="7">
        <v>0</v>
      </c>
    </row>
    <row r="11" spans="1:24" ht="18" customHeight="1" x14ac:dyDescent="0.2">
      <c r="B11" s="45"/>
      <c r="C11" s="8" t="s">
        <v>19</v>
      </c>
      <c r="D11" s="9">
        <v>0</v>
      </c>
    </row>
    <row r="12" spans="1:24" ht="18" customHeight="1" x14ac:dyDescent="0.2">
      <c r="B12" s="45"/>
      <c r="C12" s="8" t="s">
        <v>3</v>
      </c>
      <c r="D12" s="9">
        <f>D4/12</f>
        <v>135.08333333333334</v>
      </c>
    </row>
    <row r="13" spans="1:24" ht="18" customHeight="1" x14ac:dyDescent="0.2">
      <c r="B13" s="45"/>
      <c r="C13" s="6" t="s">
        <v>8</v>
      </c>
      <c r="D13" s="7">
        <f>D4/36</f>
        <v>45.027777777777779</v>
      </c>
    </row>
    <row r="14" spans="1:24" ht="18" customHeight="1" x14ac:dyDescent="0.2">
      <c r="B14" s="45"/>
      <c r="C14" s="8" t="s">
        <v>9</v>
      </c>
      <c r="D14" s="9">
        <f>D4/12</f>
        <v>135.08333333333334</v>
      </c>
    </row>
    <row r="15" spans="1:24" ht="18" customHeight="1" x14ac:dyDescent="0.2">
      <c r="B15" s="45"/>
      <c r="C15" s="6" t="s">
        <v>10</v>
      </c>
      <c r="D15" s="7">
        <f>D4/150</f>
        <v>10.806666666666667</v>
      </c>
    </row>
    <row r="16" spans="1:24" ht="18" customHeight="1" x14ac:dyDescent="0.2">
      <c r="B16" s="45"/>
      <c r="C16" s="8" t="s">
        <v>11</v>
      </c>
      <c r="D16" s="9">
        <f>D4/454.5</f>
        <v>3.5665566556655666</v>
      </c>
    </row>
    <row r="17" spans="2:4" ht="18" customHeight="1" x14ac:dyDescent="0.2">
      <c r="B17" s="45"/>
      <c r="C17" s="6" t="s">
        <v>12</v>
      </c>
      <c r="D17" s="7">
        <f>D4/150</f>
        <v>10.806666666666667</v>
      </c>
    </row>
    <row r="18" spans="2:4" ht="18" customHeight="1" x14ac:dyDescent="0.2">
      <c r="B18" s="45"/>
      <c r="C18" s="8" t="s">
        <v>13</v>
      </c>
      <c r="D18" s="9">
        <f>D4/12</f>
        <v>135.08333333333334</v>
      </c>
    </row>
    <row r="19" spans="2:4" ht="18" customHeight="1" x14ac:dyDescent="0.2">
      <c r="B19" s="45"/>
      <c r="C19" s="6" t="s">
        <v>14</v>
      </c>
      <c r="D19" s="7">
        <f>D4/150</f>
        <v>10.806666666666667</v>
      </c>
    </row>
    <row r="20" spans="2:4" ht="18" customHeight="1" x14ac:dyDescent="0.2">
      <c r="B20" s="45"/>
      <c r="C20" s="8" t="s">
        <v>15</v>
      </c>
      <c r="D20" s="9">
        <f>D4*2%</f>
        <v>32.42</v>
      </c>
    </row>
    <row r="21" spans="2:4" ht="22.5" customHeight="1" x14ac:dyDescent="0.2">
      <c r="B21" s="46"/>
      <c r="C21" s="10" t="s">
        <v>16</v>
      </c>
      <c r="D21" s="11">
        <f>SUM(D6:D20)</f>
        <v>1115.2123344334434</v>
      </c>
    </row>
    <row r="22" spans="2:4" ht="7.5" customHeight="1" x14ac:dyDescent="0.25">
      <c r="B22" s="13"/>
      <c r="C22" s="13"/>
      <c r="D22" s="13"/>
    </row>
    <row r="23" spans="2:4" ht="22.5" customHeight="1" x14ac:dyDescent="0.2">
      <c r="B23" s="47"/>
      <c r="C23" s="43"/>
      <c r="D23" s="14"/>
    </row>
    <row r="24" spans="2:4" ht="22.5" customHeight="1" x14ac:dyDescent="0.2">
      <c r="B24" s="48" t="s">
        <v>17</v>
      </c>
      <c r="C24" s="49"/>
      <c r="D24" s="49"/>
    </row>
    <row r="25" spans="2:4" ht="18" customHeight="1" x14ac:dyDescent="0.3">
      <c r="B25" s="15"/>
      <c r="C25" s="15"/>
      <c r="D25" s="15"/>
    </row>
    <row r="26" spans="2:4" ht="18" customHeight="1" x14ac:dyDescent="0.2"/>
    <row r="27" spans="2:4" ht="18" customHeight="1" x14ac:dyDescent="0.2"/>
    <row r="28" spans="2:4" ht="18" customHeight="1" x14ac:dyDescent="0.2"/>
    <row r="29" spans="2:4" ht="18" customHeight="1" x14ac:dyDescent="0.2"/>
    <row r="30" spans="2:4" ht="18" customHeight="1" x14ac:dyDescent="0.2"/>
    <row r="31" spans="2:4" ht="18" customHeight="1" x14ac:dyDescent="0.2"/>
    <row r="32" spans="2:4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  <row r="80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D1"/>
    <mergeCell ref="B4:C4"/>
    <mergeCell ref="B6:B21"/>
    <mergeCell ref="B23:C23"/>
    <mergeCell ref="B24:D24"/>
  </mergeCells>
  <pageMargins left="0.75" right="0.75" top="1" bottom="1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228E6-6304-41ED-93F0-92B9ECAE3874}">
  <dimension ref="A1:F24"/>
  <sheetViews>
    <sheetView showGridLines="0" workbookViewId="0">
      <selection sqref="A1:XFD1048576"/>
    </sheetView>
  </sheetViews>
  <sheetFormatPr defaultRowHeight="15" x14ac:dyDescent="0.2"/>
  <cols>
    <col min="1" max="1" width="22.44140625" bestFit="1" customWidth="1"/>
    <col min="3" max="3" width="14.109375" customWidth="1"/>
    <col min="5" max="5" width="18.5546875" bestFit="1" customWidth="1"/>
    <col min="6" max="6" width="10.44140625" bestFit="1" customWidth="1"/>
    <col min="7" max="7" width="11.6640625" bestFit="1" customWidth="1"/>
    <col min="9" max="10" width="10.21875" bestFit="1" customWidth="1"/>
  </cols>
  <sheetData>
    <row r="1" spans="1:6" ht="16.5" thickBot="1" x14ac:dyDescent="0.3">
      <c r="A1" s="50" t="s">
        <v>38</v>
      </c>
      <c r="B1" s="51"/>
      <c r="C1" s="52"/>
    </row>
    <row r="2" spans="1:6" ht="15.75" thickBot="1" x14ac:dyDescent="0.25">
      <c r="A2" s="20" t="s">
        <v>21</v>
      </c>
      <c r="B2" s="21" t="s">
        <v>22</v>
      </c>
      <c r="C2" s="22" t="s">
        <v>23</v>
      </c>
    </row>
    <row r="3" spans="1:6" ht="15.75" thickBot="1" x14ac:dyDescent="0.25">
      <c r="A3" s="23" t="s">
        <v>24</v>
      </c>
      <c r="B3" s="21">
        <v>100</v>
      </c>
      <c r="C3" s="24">
        <v>1621</v>
      </c>
      <c r="D3">
        <v>1621</v>
      </c>
      <c r="E3" s="25">
        <f>C3-D3</f>
        <v>0</v>
      </c>
      <c r="F3" s="25">
        <f>D3*7.5%</f>
        <v>121.57499999999999</v>
      </c>
    </row>
    <row r="4" spans="1:6" ht="15.75" thickBot="1" x14ac:dyDescent="0.25">
      <c r="A4" s="23"/>
      <c r="B4" s="26"/>
      <c r="C4" s="24"/>
      <c r="D4">
        <v>115.1</v>
      </c>
      <c r="E4" s="25">
        <f>E3*9%</f>
        <v>0</v>
      </c>
    </row>
    <row r="5" spans="1:6" ht="16.5" thickBot="1" x14ac:dyDescent="0.3">
      <c r="A5" s="23" t="s">
        <v>25</v>
      </c>
      <c r="B5" s="26"/>
      <c r="C5" s="27">
        <f>F3+E4</f>
        <v>121.57499999999999</v>
      </c>
      <c r="D5" t="s">
        <v>37</v>
      </c>
    </row>
    <row r="6" spans="1:6" ht="15.75" thickBot="1" x14ac:dyDescent="0.25">
      <c r="A6" s="23"/>
      <c r="B6" s="26"/>
      <c r="C6" s="24"/>
    </row>
    <row r="7" spans="1:6" ht="15.75" thickBot="1" x14ac:dyDescent="0.25">
      <c r="A7" s="23" t="s">
        <v>26</v>
      </c>
      <c r="B7" s="26"/>
      <c r="C7" s="24">
        <f>C3+C4+-C5</f>
        <v>1499.425</v>
      </c>
    </row>
    <row r="8" spans="1:6" ht="15.75" thickBot="1" x14ac:dyDescent="0.25">
      <c r="A8" s="23"/>
      <c r="B8" s="26"/>
      <c r="C8" s="24"/>
    </row>
    <row r="9" spans="1:6" ht="15.75" thickBot="1" x14ac:dyDescent="0.25">
      <c r="A9" s="23"/>
      <c r="B9" s="21"/>
      <c r="C9" s="28"/>
    </row>
    <row r="10" spans="1:6" ht="15.75" thickBot="1" x14ac:dyDescent="0.25">
      <c r="A10" s="23"/>
      <c r="B10" s="26"/>
      <c r="C10" s="29"/>
    </row>
    <row r="11" spans="1:6" ht="15.75" thickBot="1" x14ac:dyDescent="0.25">
      <c r="A11" s="23"/>
      <c r="B11" s="26"/>
      <c r="C11" s="29"/>
    </row>
    <row r="12" spans="1:6" ht="16.5" thickBot="1" x14ac:dyDescent="0.3">
      <c r="A12" s="30" t="s">
        <v>27</v>
      </c>
      <c r="B12" s="31">
        <v>0.08</v>
      </c>
      <c r="C12" s="24">
        <f>C3*B12</f>
        <v>129.68</v>
      </c>
    </row>
    <row r="13" spans="1:6" ht="16.5" thickBot="1" x14ac:dyDescent="0.3">
      <c r="A13" s="30" t="s">
        <v>28</v>
      </c>
      <c r="B13" s="32">
        <v>0.2</v>
      </c>
      <c r="C13" s="24">
        <f>C3*B13</f>
        <v>324.20000000000005</v>
      </c>
    </row>
    <row r="14" spans="1:6" ht="16.5" thickBot="1" x14ac:dyDescent="0.3">
      <c r="A14" s="30" t="s">
        <v>29</v>
      </c>
      <c r="B14" s="32">
        <v>5.8000000000000003E-2</v>
      </c>
      <c r="C14" s="24">
        <f>C3*B14</f>
        <v>94.018000000000001</v>
      </c>
    </row>
    <row r="15" spans="1:6" ht="16.5" thickBot="1" x14ac:dyDescent="0.3">
      <c r="A15" s="30"/>
      <c r="B15" s="32"/>
      <c r="C15" s="24"/>
    </row>
    <row r="16" spans="1:6" ht="15.75" thickBot="1" x14ac:dyDescent="0.25">
      <c r="A16" s="23" t="s">
        <v>30</v>
      </c>
      <c r="B16" s="32">
        <v>0.03</v>
      </c>
      <c r="C16" s="29">
        <f>C3*B16</f>
        <v>48.629999999999995</v>
      </c>
    </row>
    <row r="17" spans="1:3" ht="15.75" thickBot="1" x14ac:dyDescent="0.25">
      <c r="A17" s="23" t="s">
        <v>31</v>
      </c>
      <c r="B17" s="32">
        <v>0.01</v>
      </c>
      <c r="C17" s="29">
        <f>C3*B17</f>
        <v>16.21</v>
      </c>
    </row>
    <row r="18" spans="1:3" ht="16.5" thickBot="1" x14ac:dyDescent="0.3">
      <c r="A18" s="33" t="s">
        <v>32</v>
      </c>
      <c r="B18" s="34"/>
      <c r="C18" s="35">
        <f>SUM(C10:C17)</f>
        <v>612.73800000000006</v>
      </c>
    </row>
    <row r="19" spans="1:3" ht="15.75" thickBot="1" x14ac:dyDescent="0.25">
      <c r="A19" s="23"/>
      <c r="B19" s="26"/>
      <c r="C19" s="36"/>
    </row>
    <row r="20" spans="1:3" ht="16.5" thickBot="1" x14ac:dyDescent="0.3">
      <c r="A20" s="30" t="s">
        <v>33</v>
      </c>
      <c r="B20" s="26"/>
      <c r="C20" s="29">
        <f>C3/12</f>
        <v>135.08333333333334</v>
      </c>
    </row>
    <row r="21" spans="1:3" ht="16.5" thickBot="1" x14ac:dyDescent="0.3">
      <c r="A21" s="30" t="s">
        <v>34</v>
      </c>
      <c r="B21" s="26"/>
      <c r="C21" s="29">
        <f>C3/12</f>
        <v>135.08333333333334</v>
      </c>
    </row>
    <row r="22" spans="1:3" ht="16.5" thickBot="1" x14ac:dyDescent="0.3">
      <c r="A22" s="30" t="s">
        <v>35</v>
      </c>
      <c r="B22" s="26"/>
      <c r="C22" s="29">
        <f>C21/3</f>
        <v>45.027777777777779</v>
      </c>
    </row>
    <row r="23" spans="1:3" ht="15.75" thickBot="1" x14ac:dyDescent="0.25">
      <c r="A23" s="23"/>
      <c r="B23" s="26"/>
      <c r="C23" s="36"/>
    </row>
    <row r="24" spans="1:3" ht="16.5" thickBot="1" x14ac:dyDescent="0.3">
      <c r="A24" s="37" t="s">
        <v>36</v>
      </c>
      <c r="B24" s="38"/>
      <c r="C24" s="39">
        <f>C7+C18+C20+C21+C22</f>
        <v>2427.3574444444448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8C7B-9B2A-46B7-982C-AAD568A232EF}">
  <dimension ref="A1:F24"/>
  <sheetViews>
    <sheetView tabSelected="1" workbookViewId="0">
      <selection activeCell="C3" sqref="C3:C4"/>
    </sheetView>
  </sheetViews>
  <sheetFormatPr defaultRowHeight="15" x14ac:dyDescent="0.2"/>
  <cols>
    <col min="1" max="1" width="22.44140625" bestFit="1" customWidth="1"/>
    <col min="3" max="3" width="14.109375" customWidth="1"/>
    <col min="5" max="5" width="18.5546875" bestFit="1" customWidth="1"/>
    <col min="6" max="6" width="10.44140625" bestFit="1" customWidth="1"/>
    <col min="7" max="7" width="11.6640625" bestFit="1" customWidth="1"/>
    <col min="9" max="10" width="10.21875" bestFit="1" customWidth="1"/>
  </cols>
  <sheetData>
    <row r="1" spans="1:6" ht="16.5" thickBot="1" x14ac:dyDescent="0.3">
      <c r="A1" s="50" t="s">
        <v>38</v>
      </c>
      <c r="B1" s="51"/>
      <c r="C1" s="52"/>
    </row>
    <row r="2" spans="1:6" ht="15.75" thickBot="1" x14ac:dyDescent="0.25">
      <c r="A2" s="20" t="s">
        <v>21</v>
      </c>
      <c r="B2" s="21" t="s">
        <v>22</v>
      </c>
      <c r="C2" s="22" t="s">
        <v>23</v>
      </c>
    </row>
    <row r="3" spans="1:6" ht="15.75" thickBot="1" x14ac:dyDescent="0.25">
      <c r="A3" s="23" t="s">
        <v>24</v>
      </c>
      <c r="B3" s="21">
        <v>100</v>
      </c>
      <c r="C3" s="24">
        <v>2050</v>
      </c>
      <c r="D3">
        <v>1621</v>
      </c>
      <c r="E3" s="25">
        <f>C3-D3</f>
        <v>429</v>
      </c>
      <c r="F3" s="25">
        <f>D3*7.5%</f>
        <v>121.57499999999999</v>
      </c>
    </row>
    <row r="4" spans="1:6" ht="15.75" thickBot="1" x14ac:dyDescent="0.25">
      <c r="A4" s="23"/>
      <c r="B4" s="26"/>
      <c r="C4" s="24">
        <f>C3*30%</f>
        <v>615</v>
      </c>
      <c r="D4">
        <v>115.1</v>
      </c>
      <c r="E4" s="25">
        <f>E3*9%</f>
        <v>38.61</v>
      </c>
    </row>
    <row r="5" spans="1:6" ht="16.5" thickBot="1" x14ac:dyDescent="0.3">
      <c r="A5" s="23" t="s">
        <v>25</v>
      </c>
      <c r="B5" s="26"/>
      <c r="C5" s="27">
        <f>F3+E4</f>
        <v>160.185</v>
      </c>
      <c r="D5" t="s">
        <v>37</v>
      </c>
    </row>
    <row r="6" spans="1:6" ht="15.75" thickBot="1" x14ac:dyDescent="0.25">
      <c r="A6" s="23"/>
      <c r="B6" s="26"/>
      <c r="C6" s="24"/>
    </row>
    <row r="7" spans="1:6" ht="15.75" thickBot="1" x14ac:dyDescent="0.25">
      <c r="A7" s="23" t="s">
        <v>26</v>
      </c>
      <c r="B7" s="26"/>
      <c r="C7" s="24">
        <f>C3+C4+-C5</f>
        <v>2504.8150000000001</v>
      </c>
    </row>
    <row r="8" spans="1:6" ht="15.75" thickBot="1" x14ac:dyDescent="0.25">
      <c r="A8" s="23"/>
      <c r="B8" s="26"/>
      <c r="C8" s="24"/>
    </row>
    <row r="9" spans="1:6" ht="15.75" thickBot="1" x14ac:dyDescent="0.25">
      <c r="A9" s="23"/>
      <c r="B9" s="21"/>
      <c r="C9" s="28"/>
    </row>
    <row r="10" spans="1:6" ht="15.75" thickBot="1" x14ac:dyDescent="0.25">
      <c r="A10" s="23"/>
      <c r="B10" s="26"/>
      <c r="C10" s="29"/>
    </row>
    <row r="11" spans="1:6" ht="15.75" thickBot="1" x14ac:dyDescent="0.25">
      <c r="A11" s="23"/>
      <c r="B11" s="26"/>
      <c r="C11" s="29"/>
    </row>
    <row r="12" spans="1:6" ht="16.5" thickBot="1" x14ac:dyDescent="0.3">
      <c r="A12" s="30" t="s">
        <v>27</v>
      </c>
      <c r="B12" s="31">
        <v>0.08</v>
      </c>
      <c r="C12" s="24">
        <f>C3*B12</f>
        <v>164</v>
      </c>
    </row>
    <row r="13" spans="1:6" ht="16.5" thickBot="1" x14ac:dyDescent="0.3">
      <c r="A13" s="30" t="s">
        <v>28</v>
      </c>
      <c r="B13" s="32">
        <v>0</v>
      </c>
      <c r="C13" s="24">
        <f>C3*B13</f>
        <v>0</v>
      </c>
    </row>
    <row r="14" spans="1:6" ht="16.5" thickBot="1" x14ac:dyDescent="0.3">
      <c r="A14" s="30" t="s">
        <v>29</v>
      </c>
      <c r="B14" s="32">
        <v>0</v>
      </c>
      <c r="C14" s="24">
        <f>C3*B14</f>
        <v>0</v>
      </c>
    </row>
    <row r="15" spans="1:6" ht="16.5" thickBot="1" x14ac:dyDescent="0.3">
      <c r="A15" s="30"/>
      <c r="B15" s="32"/>
      <c r="C15" s="24"/>
    </row>
    <row r="16" spans="1:6" ht="15.75" thickBot="1" x14ac:dyDescent="0.25">
      <c r="A16" s="23" t="s">
        <v>30</v>
      </c>
      <c r="B16" s="32">
        <v>0</v>
      </c>
      <c r="C16" s="29">
        <f>C3*B16</f>
        <v>0</v>
      </c>
    </row>
    <row r="17" spans="1:3" ht="15.75" thickBot="1" x14ac:dyDescent="0.25">
      <c r="A17" s="23" t="s">
        <v>31</v>
      </c>
      <c r="B17" s="32">
        <v>0</v>
      </c>
      <c r="C17" s="29">
        <f>C3*B17</f>
        <v>0</v>
      </c>
    </row>
    <row r="18" spans="1:3" ht="16.5" thickBot="1" x14ac:dyDescent="0.3">
      <c r="A18" s="33" t="s">
        <v>32</v>
      </c>
      <c r="B18" s="34"/>
      <c r="C18" s="35">
        <f>SUM(C10:C17)</f>
        <v>164</v>
      </c>
    </row>
    <row r="19" spans="1:3" ht="15.75" thickBot="1" x14ac:dyDescent="0.25">
      <c r="A19" s="23"/>
      <c r="B19" s="26"/>
      <c r="C19" s="36"/>
    </row>
    <row r="20" spans="1:3" ht="16.5" thickBot="1" x14ac:dyDescent="0.3">
      <c r="A20" s="30" t="s">
        <v>33</v>
      </c>
      <c r="B20" s="26"/>
      <c r="C20" s="29">
        <f>C3/12</f>
        <v>170.83333333333334</v>
      </c>
    </row>
    <row r="21" spans="1:3" ht="16.5" thickBot="1" x14ac:dyDescent="0.3">
      <c r="A21" s="30" t="s">
        <v>34</v>
      </c>
      <c r="B21" s="26"/>
      <c r="C21" s="29">
        <f>C3/12</f>
        <v>170.83333333333334</v>
      </c>
    </row>
    <row r="22" spans="1:3" ht="16.5" thickBot="1" x14ac:dyDescent="0.3">
      <c r="A22" s="30" t="s">
        <v>35</v>
      </c>
      <c r="B22" s="26"/>
      <c r="C22" s="29">
        <f>C21/3</f>
        <v>56.94444444444445</v>
      </c>
    </row>
    <row r="23" spans="1:3" ht="15.75" thickBot="1" x14ac:dyDescent="0.25">
      <c r="A23" s="23"/>
      <c r="B23" s="26"/>
      <c r="C23" s="36"/>
    </row>
    <row r="24" spans="1:3" ht="16.5" thickBot="1" x14ac:dyDescent="0.3">
      <c r="A24" s="37" t="s">
        <v>36</v>
      </c>
      <c r="B24" s="38"/>
      <c r="C24" s="39">
        <f>C7+C18+C20+C21+C22</f>
        <v>3067.4261111111114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Funcionário Simples Nacional</vt:lpstr>
      <vt:lpstr>Empresa Não Optante Simples</vt:lpstr>
      <vt:lpstr>Funcionários  Não Opante</vt:lpstr>
      <vt:lpstr>Funcionário Simples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Belalian</dc:creator>
  <cp:lastModifiedBy>Ciro</cp:lastModifiedBy>
  <dcterms:created xsi:type="dcterms:W3CDTF">2013-04-24T19:44:02Z</dcterms:created>
  <dcterms:modified xsi:type="dcterms:W3CDTF">2026-01-15T18:03:12Z</dcterms:modified>
</cp:coreProperties>
</file>